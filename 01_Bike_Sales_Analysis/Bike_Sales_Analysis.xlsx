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0E2BE6-0404-4FB5-81F1-029AD3546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_Table" sheetId="3" r:id="rId1"/>
    <sheet name="Bike Sales" sheetId="1" r:id="rId2"/>
    <sheet name="Data_Quality" sheetId="2" r:id="rId3"/>
  </sheets>
  <definedNames>
    <definedName name="_xlnm._FilterDatabase" localSheetId="1" hidden="1">'Bike Sales'!$I$1:$I$91</definedName>
  </definedNames>
  <calcPr calcId="191028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" l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5" i="1"/>
  <c r="T6" i="1"/>
  <c r="T7" i="1"/>
  <c r="T8" i="1"/>
  <c r="T9" i="1"/>
  <c r="T3" i="1"/>
  <c r="T4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<sst xmlns="http://schemas.openxmlformats.org/spreadsheetml/2006/main" count="835" uniqueCount="176">
  <si>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</si>
  <si>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</si>
  <si>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</si>
  <si>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</si>
  <si>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</si>
  <si>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</si>
  <si>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</si>
  <si>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</si>
  <si>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</si>
  <si>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</si>
  <si>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</si>
  <si>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</si>
  <si>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</si>
  <si>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</si>
  <si>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</si>
  <si>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</si>
  <si>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</si>
  <si>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</si>
  <si>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</si>
  <si>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</si>
  <si>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</si>
  <si>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</si>
  <si>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</si>
  <si>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</si>
  <si>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</si>
  <si>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</si>
  <si>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</si>
  <si>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</si>
  <si>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</si>
  <si>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</si>
  <si>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</si>
  <si>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</si>
  <si>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</si>
  <si>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</si>
  <si>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</si>
  <si>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</si>
  <si>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</si>
  <si>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</si>
  <si>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</si>
  <si>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</si>
  <si>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</si>
  <si>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</si>
  <si>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</si>
  <si>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</si>
  <si>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</si>
  <si>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</si>
  <si>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</si>
  <si>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</si>
  <si>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</si>
  <si>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</si>
  <si>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</si>
  <si>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</si>
  <si>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</si>
  <si>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</si>
  <si>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</si>
  <si>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</si>
  <si>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</si>
  <si>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</si>
  <si>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</si>
  <si>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</si>
  <si>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</si>
  <si>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</si>
  <si>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</si>
  <si>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</si>
  <si>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</si>
  <si>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</si>
  <si>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</si>
  <si>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</si>
  <si>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</si>
  <si>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</si>
  <si>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</si>
  <si>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</si>
  <si>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</si>
  <si>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</si>
  <si>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</si>
  <si>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</si>
  <si>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</si>
  <si>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</si>
  <si>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</si>
  <si>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</si>
  <si>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</si>
  <si>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</si>
  <si>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</si>
  <si>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</si>
  <si>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</si>
  <si>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</si>
  <si>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</si>
  <si>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</si>
  <si>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</si>
  <si>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</si>
  <si>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</si>
  <si>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</si>
  <si>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</si>
  <si>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</si>
  <si>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</si>
  <si>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</si>
  <si>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</si>
  <si>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</si>
  <si>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</si>
  <si>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</si>
  <si>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</si>
  <si>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</si>
  <si>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</si>
  <si>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</si>
  <si>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</si>
  <si>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</si>
  <si>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</si>
  <si>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</si>
  <si>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</si>
  <si>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</si>
  <si>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</si>
  <si>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</si>
  <si>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</si>
  <si>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</si>
  <si>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</si>
  <si>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</si>
  <si>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</si>
  <si>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</si>
  <si>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</si>
  <si>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</si>
  <si>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</si>
  <si>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</si>
  <si>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</si>
  <si>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</si>
  <si>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</si>
  <si>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</si>
  <si>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</si>
  <si>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</si>
  <si>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</si>
  <si>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</si>
  <si>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</si>
  <si>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</si>
  <si>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</si>
  <si>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</si>
  <si>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</si>
  <si>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</si>
  <si>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</si>
  <si>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</si>
  <si>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</si>
  <si>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</si>
  <si>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</si>
  <si>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</si>
  <si>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</si>
  <si>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</si>
  <si>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</si>
  <si>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</si>
  <si>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</si>
  <si>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</si>
  <si>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</si>
  <si>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</si>
  <si>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</si>
  <si>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</si>
  <si>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</si>
  <si>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</si>
  <si>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</si>
  <si>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</si>
  <si>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</si>
  <si>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</si>
  <si>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Data_Quality_Check</t>
  </si>
  <si>
    <t>Results</t>
  </si>
  <si>
    <t>Total sales records</t>
  </si>
  <si>
    <t>Unique sales order numbers</t>
  </si>
  <si>
    <t>Duplicate order numbers</t>
  </si>
  <si>
    <t>Missing Revenue values</t>
  </si>
  <si>
    <t>Missing Order Quantity values</t>
  </si>
  <si>
    <t>Missing Unit Price values</t>
  </si>
  <si>
    <t>Missing Unit Cost values</t>
  </si>
  <si>
    <t>Missing Country values</t>
  </si>
  <si>
    <t>Missing Product Category values</t>
  </si>
  <si>
    <t>Missing Gender values</t>
  </si>
  <si>
    <t>Missing Age Group values</t>
  </si>
  <si>
    <t>Missing Day values after correction</t>
  </si>
  <si>
    <t>Row Labels</t>
  </si>
  <si>
    <t>Grand Total</t>
  </si>
  <si>
    <t>Sum of Revenue</t>
  </si>
  <si>
    <t>Clean_Country_Data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</si>
</sst>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8" formatCode="_([$$-409]* #,##0.00_);_([$$-409]* \(#,##0.00\);_([$$-409]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68" fontId="0" fillId="0" borderId="0" xfId="0" applyNumberFormat="1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4" formatCode="_(&quot;$&quot;* #,##0.00_);_(&quot;$&quot;* \(#,##0.00\);_(&quot;$&quot;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  <dxf>
      <numFmt numFmtId="34" formatCode="_(&quot;$&quot;* #,##0.00_);_(&quot;$&quot;* \(#,##0.00\);_(&quot;$&quot;* &quot;-&quot;??_);_(@_)"/>
    </dxf>
    <dxf>
      <numFmt numFmtId="168" formatCode="_([$$-409]* #,##0.00_);_([$$-409]* \(#,##0.00\);_([$$-409]* &quot;-&quot;??_);_(@_)"/>
    </dxf>
    <dxf>
      <numFmt numFmtId="168" formatCode="_([$$-409]* #,##0.00_);_([$$-409]* \(#,##0.00\);_([$$-409]* &quot;-&quot;??_);_(@_)"/>
    </dxf>
  </dxfs>
  <tableStyles count="0" defaultTableStyle="TableStyleMedium2" defaultPivotStyle="PivotStyleLight16"/>
  <colors>
    <mruColors>
      <color rgb="FFFF33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Portfolio 1.xlsx]Pivot_Table!PivotTable1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Country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99C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33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E1-4E2E-B219-35ECD790AD2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E1-4E2E-B219-35ECD790AD2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1E1-4E2E-B219-35ECD790AD26}"/>
              </c:ext>
            </c:extLst>
          </c:dPt>
          <c:dPt>
            <c:idx val="3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E1-4E2E-B219-35ECD790AD26}"/>
              </c:ext>
            </c:extLst>
          </c:dPt>
          <c:dPt>
            <c:idx val="4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1E1-4E2E-B219-35ECD790AD26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E1-4E2E-B219-35ECD790AD26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E1-4E2E-B219-35ECD790AD26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E1-4E2E-B219-35ECD790AD26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E1-4E2E-B219-35ECD790AD26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E1-4E2E-B219-35ECD790AD26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1E1-4E2E-B219-35ECD790AD26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E1-4E2E-B219-35ECD790A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Pivot_Table!$A$4:$A$10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Pivot_Table!$B$4:$B$10</c:f>
              <c:numCache>
                <c:formatCode>General</c:formatCode>
                <c:ptCount val="6"/>
                <c:pt idx="0">
                  <c:v>111506</c:v>
                </c:pt>
                <c:pt idx="1">
                  <c:v>20080</c:v>
                </c:pt>
                <c:pt idx="2">
                  <c:v>46175</c:v>
                </c:pt>
                <c:pt idx="3">
                  <c:v>30010</c:v>
                </c:pt>
                <c:pt idx="4">
                  <c:v>19972</c:v>
                </c:pt>
                <c:pt idx="5">
                  <c:v>133489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1-4E2E-B219-35ECD790A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3022208"/>
        <c:axId val="273021552"/>
      </c:barChart>
      <c:catAx>
        <c:axId val="27302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21552"/>
        <c:crosses val="autoZero"/>
        <c:auto val="1"/>
        <c:lblAlgn val="ctr"/>
        <c:lblOffset val="100"/>
        <c:noMultiLvlLbl val="0"/>
      </c:catAx>
      <c:valAx>
        <c:axId val="27302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2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15240</xdr:rowOff>
    </xdr:from>
    <xdr:to>
      <xdr:col>14</xdr:col>
      <xdr:colOff>99060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3ACA9-F8F7-406C-BF9D-E8E0203E5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5.486030439817" createdVersion="7" refreshedVersion="7" minRefreshableVersion="3" recordCount="88" xr:uid="{D4AFB571-261E-4D45-8506-C0FA7BC7D1AA}">
  <cacheSource type="worksheet">
    <worksheetSource ref="A1:T89" sheet="Bike Sales"/>
  </cacheSource>
  <cacheFields count="20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  <cacheField name="Clean_Country_Data" numFmtId="0">
      <sharedItems count="6">
        <s v="United States"/>
        <s v="United Kingdom"/>
        <s v="Australia"/>
        <s v="Germany"/>
        <s v="Canada"/>
        <s v="Fr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  <x v="0"/>
  </r>
  <r>
    <s v="000261695"/>
    <d v="2021-12-01T00:00:00"/>
    <n v="1"/>
    <s v="December"/>
    <n v="2021"/>
    <n v="44"/>
    <s v="Adults (35-64)"/>
    <s v="M"/>
    <s v="United Kingdom"/>
    <s v="England"/>
    <s v="Bikes"/>
    <s v="Mountain Bikes"/>
    <s v="Mountain-200 Silver, 42"/>
    <n v="1"/>
    <n v="1266"/>
    <n v="2320"/>
    <n v="1054"/>
    <n v="1266"/>
    <n v="2320"/>
    <x v="1"/>
  </r>
  <r>
    <s v="000261697"/>
    <d v="2021-12-02T00:00:00"/>
    <n v="2"/>
    <s v="December"/>
    <n v="2021"/>
    <n v="37"/>
    <s v="Adults (35-64)"/>
    <s v="M"/>
    <s v="United States"/>
    <s v="California"/>
    <s v="Bikes"/>
    <s v="Mountain Bikes"/>
    <s v="Mountain-400-W Silver, 46"/>
    <n v="2"/>
    <n v="420"/>
    <n v="769"/>
    <n v="698"/>
    <n v="840"/>
    <n v="1538"/>
    <x v="0"/>
  </r>
  <r>
    <s v="000261698"/>
    <d v="2021-12-02T00:00:00"/>
    <n v="2"/>
    <s v="December"/>
    <n v="2021"/>
    <n v="31"/>
    <s v="Young Adults (25-34)"/>
    <s v="F"/>
    <s v="Australia"/>
    <s v="New South Wales"/>
    <s v="Bikes"/>
    <s v="Mountain Bikes"/>
    <s v="Mountain-400-W Silver, 42"/>
    <n v="1"/>
    <n v="420"/>
    <n v="769"/>
    <n v="349"/>
    <n v="420"/>
    <n v="769"/>
    <x v="2"/>
  </r>
  <r>
    <s v="000261699"/>
    <d v="2021-12-03T00:00:00"/>
    <n v="3"/>
    <s v="December"/>
    <n v="2021"/>
    <n v="37"/>
    <s v="Adults (35-64)"/>
    <s v="F"/>
    <s v="United  States"/>
    <s v="California"/>
    <s v="Bikes"/>
    <s v="Mountain Bikes"/>
    <s v="Mountain-200 Black, 46"/>
    <n v="2"/>
    <n v="1252"/>
    <n v="2295"/>
    <n v="2086"/>
    <n v="2504"/>
    <n v="4590"/>
    <x v="0"/>
  </r>
  <r>
    <s v="000261700"/>
    <d v="2021-12-03T00:00:00"/>
    <n v="3"/>
    <s v="December"/>
    <n v="2021"/>
    <n v="24"/>
    <s v="Youth (&lt;25)"/>
    <s v="F"/>
    <s v="United Kingdom"/>
    <s v="England"/>
    <s v="Bikes"/>
    <s v="Mountain Bikes"/>
    <s v="Mountain-200 Black, 38"/>
    <n v="1"/>
    <n v="1252"/>
    <n v="2295"/>
    <n v="1043"/>
    <n v="1252"/>
    <n v="2295"/>
    <x v="1"/>
  </r>
  <r>
    <s v="000261701"/>
    <d v="2021-12-03T00:00:00"/>
    <n v="3"/>
    <s v="December"/>
    <n v="2021"/>
    <n v="37"/>
    <s v="Adults (35-64)"/>
    <s v="M"/>
    <s v="United States "/>
    <s v="Washington"/>
    <s v="Bikes"/>
    <s v="Mountain Bikes"/>
    <s v="Mountain-200 Black, 46"/>
    <n v="1"/>
    <n v="1252"/>
    <n v="2295"/>
    <n v="1043"/>
    <n v="1252"/>
    <n v="2295"/>
    <x v="0"/>
  </r>
  <r>
    <s v="000261702"/>
    <d v="2021-12-04T00:00:00"/>
    <n v="4"/>
    <s v="December"/>
    <n v="2021"/>
    <n v="31"/>
    <s v="Young Adults (25-34)"/>
    <s v="F"/>
    <s v="Australia"/>
    <s v="New South Wales"/>
    <s v="Bikes"/>
    <s v="Mountain Bikes"/>
    <s v="Mountain-400-W Silver, 42"/>
    <n v="4"/>
    <n v="420"/>
    <n v="769"/>
    <n v="1396"/>
    <n v="1680"/>
    <n v="3076"/>
    <x v="2"/>
  </r>
  <r>
    <s v="000261703"/>
    <d v="2021-12-05T00:00:00"/>
    <n v="5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  <x v="0"/>
  </r>
  <r>
    <s v="000261704"/>
    <d v="2021-12-05T00:00:00"/>
    <n v="5"/>
    <s v="December"/>
    <n v="2021"/>
    <n v="42"/>
    <s v="Adults (35-64)"/>
    <s v="M"/>
    <s v="Germany"/>
    <s v="Nordrhein-Westfalen"/>
    <s v="Bikes"/>
    <s v="Mountain Bikes"/>
    <s v="Mountain-200 Black, 38"/>
    <n v="4"/>
    <n v="1252"/>
    <n v="2295"/>
    <n v="4172"/>
    <n v="5008"/>
    <n v="9180"/>
    <x v="3"/>
  </r>
  <r>
    <s v="000261705"/>
    <d v="2021-12-05T00:00:00"/>
    <n v="5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  <x v="2"/>
  </r>
  <r>
    <s v="000261706"/>
    <d v="2021-12-05T00:00:00"/>
    <n v="5"/>
    <s v="December"/>
    <n v="2021"/>
    <n v="37"/>
    <s v="Adults (35-64)"/>
    <s v="F"/>
    <s v="United States"/>
    <s v="California"/>
    <s v="Bikes"/>
    <s v="Mountain Bikes"/>
    <s v="Mountain-200 Black, 46"/>
    <n v="1"/>
    <n v="1252"/>
    <n v="2295"/>
    <n v="1043"/>
    <n v="1252"/>
    <n v="2295"/>
    <x v="0"/>
  </r>
  <r>
    <s v="000261707"/>
    <d v="2021-12-06T00:00:00"/>
    <n v="6"/>
    <s v="December"/>
    <n v="2021"/>
    <n v="23"/>
    <s v="Youth (&lt;25)"/>
    <s v="M"/>
    <s v="United Kingdom"/>
    <s v="England"/>
    <s v="Bikes"/>
    <s v="Mountain Bikes"/>
    <s v="Mountain-400-W Silver, 46"/>
    <n v="3"/>
    <n v="420"/>
    <n v="769"/>
    <n v="1047"/>
    <n v="1260"/>
    <n v="2307"/>
    <x v="1"/>
  </r>
  <r>
    <s v="000261708"/>
    <d v="2021-12-06T00:00:00"/>
    <n v="6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  <x v="4"/>
  </r>
  <r>
    <s v="000261709"/>
    <d v="2021-12-06T00:00:00"/>
    <n v="6"/>
    <s v="December"/>
    <n v="2021"/>
    <n v="36"/>
    <s v="Adults (35-64)"/>
    <s v="M"/>
    <s v="Australia"/>
    <s v="New South Wales"/>
    <s v="Bikes"/>
    <s v="Mountain Bikes"/>
    <s v="Mountain-200 Black, 42"/>
    <n v="1"/>
    <n v="1252"/>
    <n v="2295"/>
    <n v="1043"/>
    <n v="1252"/>
    <n v="2295"/>
    <x v="2"/>
  </r>
  <r>
    <s v="000261710"/>
    <d v="2021-12-06T00:00:00"/>
    <n v="6"/>
    <s v="December"/>
    <n v="2021"/>
    <n v="47"/>
    <s v="Adults (35-64)"/>
    <s v="M"/>
    <s v="United Kingdom"/>
    <s v="England"/>
    <s v="Bikes"/>
    <s v="Mountain Bikes"/>
    <s v="Mountain-200 Silver, 38"/>
    <n v="1"/>
    <n v="1266"/>
    <n v="2320"/>
    <n v="1054"/>
    <n v="1266"/>
    <n v="2320"/>
    <x v="1"/>
  </r>
  <r>
    <s v="000261711"/>
    <d v="2021-12-07T00:00:00"/>
    <n v="7"/>
    <s v="December"/>
    <n v="2021"/>
    <n v="30"/>
    <s v="Young Adults (25-34)"/>
    <s v="M"/>
    <s v="United States"/>
    <s v="California"/>
    <s v="Bikes"/>
    <s v="Mountain Bikes"/>
    <s v="Mountain-400-W Silver, 38"/>
    <n v="4"/>
    <n v="420"/>
    <n v="769"/>
    <n v="1396"/>
    <n v="1680"/>
    <n v="3076"/>
    <x v="0"/>
  </r>
  <r>
    <s v="000261712"/>
    <d v="2021-12-07T00:00:00"/>
    <n v="7"/>
    <s v="December"/>
    <n v="2021"/>
    <n v="38"/>
    <s v="Adults (35-64)"/>
    <s v="M"/>
    <s v="United States"/>
    <s v="California"/>
    <s v="Bikes"/>
    <s v="Mountain Bikes"/>
    <s v="Mountain-200 Silver, 42"/>
    <n v="2"/>
    <n v="1266"/>
    <n v="2320"/>
    <n v="2108"/>
    <n v="2532"/>
    <n v="4640"/>
    <x v="0"/>
  </r>
  <r>
    <s v="000261713"/>
    <d v="2021-12-08T00:00:00"/>
    <n v="8"/>
    <s v="December"/>
    <n v="2021"/>
    <n v="19"/>
    <s v="Youth (&lt;25)"/>
    <s v="F"/>
    <s v="Australia"/>
    <s v="New South Wales"/>
    <s v="Bikes"/>
    <s v="Mountain Bikes"/>
    <s v="Mountain-500 Silver, 42"/>
    <n v="4"/>
    <n v="308"/>
    <n v="565"/>
    <n v="1028"/>
    <n v="1232"/>
    <n v="2260"/>
    <x v="2"/>
  </r>
  <r>
    <s v="000261714"/>
    <d v="2021-12-08T00:00:00"/>
    <n v="8"/>
    <s v="December"/>
    <n v="2021"/>
    <n v="30"/>
    <s v="Young Adults (25-34)"/>
    <s v="F"/>
    <s v="Canada"/>
    <s v="British Columbia"/>
    <s v="Bikes"/>
    <s v="Mountain Bikes"/>
    <s v="Mountain-200 Silver, 38"/>
    <n v="4"/>
    <n v="1266"/>
    <n v="2320"/>
    <n v="4216"/>
    <n v="5064"/>
    <n v="9280"/>
    <x v="4"/>
  </r>
  <r>
    <s v="000261715"/>
    <d v="2021-12-08T00:00:00"/>
    <n v="8"/>
    <s v="December"/>
    <n v="2021"/>
    <n v="39"/>
    <s v="Adults (35-64)"/>
    <s v="F"/>
    <s v="United States"/>
    <s v="Oregon"/>
    <s v="Bikes"/>
    <s v="Mountain Bikes"/>
    <s v="Mountain-500 Black, 42"/>
    <n v="2"/>
    <n v="1252"/>
    <n v="2295"/>
    <n v="2086"/>
    <n v="2504"/>
    <n v="4590"/>
    <x v="0"/>
  </r>
  <r>
    <s v="000261716"/>
    <d v="2021-12-08T00:00:00"/>
    <n v="8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  <x v="0"/>
  </r>
  <r>
    <s v="000261717"/>
    <d v="2021-12-09T00:00:00"/>
    <n v="9"/>
    <s v="December"/>
    <n v="2021"/>
    <n v="33"/>
    <s v="Young Adults (25-34)"/>
    <s v="F"/>
    <s v="Australia"/>
    <s v="Victoria"/>
    <s v="Bikes"/>
    <s v="Mountain Bikes"/>
    <s v="Mountain-100 Black, 38"/>
    <n v="2"/>
    <n v="1898"/>
    <n v="3375"/>
    <n v="2954"/>
    <n v="3796"/>
    <n v="6750"/>
    <x v="2"/>
  </r>
  <r>
    <s v="000261718"/>
    <d v="2021-12-09T00:00:00"/>
    <n v="9"/>
    <s v="December"/>
    <n v="2021"/>
    <n v="41"/>
    <s v="Adults (35-64)"/>
    <s v="F"/>
    <s v="Germany"/>
    <s v="Hamburg"/>
    <s v="Bikes"/>
    <s v="Mountain Bikes"/>
    <s v="Mountain-200 Silver, 42"/>
    <n v="1"/>
    <n v="1266"/>
    <n v="2320"/>
    <n v="1054"/>
    <n v="1266"/>
    <n v="2320"/>
    <x v="3"/>
  </r>
  <r>
    <s v="000261719"/>
    <d v="2021-12-10T00:00:00"/>
    <n v="10"/>
    <s v="December"/>
    <n v="2021"/>
    <n v="34"/>
    <s v="Young Adults (25-34)"/>
    <s v="F"/>
    <s v="United States"/>
    <s v="California"/>
    <s v="Bikes"/>
    <s v="Mountain Bikes"/>
    <s v="Mountain-200 Black, 42"/>
    <n v="2"/>
    <n v="1252"/>
    <n v="2295"/>
    <n v="2086"/>
    <n v="2504"/>
    <n v="4590"/>
    <x v="0"/>
  </r>
  <r>
    <s v="000261720"/>
    <d v="2021-12-10T00:00:00"/>
    <n v="10"/>
    <s v="December"/>
    <n v="2021"/>
    <n v="40"/>
    <s v="Adults (35-64)"/>
    <s v="M"/>
    <s v="Australia"/>
    <s v="New South Wales"/>
    <s v="Bikes"/>
    <s v="Mountain Bikes"/>
    <s v="Mountain-200 Black, 42"/>
    <n v="2"/>
    <n v="1252"/>
    <n v="2295"/>
    <n v="2086"/>
    <n v="2504"/>
    <n v="4590"/>
    <x v="2"/>
  </r>
  <r>
    <s v="000261721"/>
    <d v="2021-12-10T00:00:00"/>
    <n v="10"/>
    <s v="December"/>
    <n v="2021"/>
    <n v="26"/>
    <s v="Young Adults (25-34)"/>
    <s v="M"/>
    <s v="United Kingdom"/>
    <s v="England"/>
    <s v="Bikes"/>
    <s v="Mountain Bikes"/>
    <s v="Mountain-200 Black, 38"/>
    <n v="1"/>
    <n v="1252"/>
    <n v="2295"/>
    <n v="1043"/>
    <n v="1252"/>
    <n v="2295"/>
    <x v="1"/>
  </r>
  <r>
    <s v="000261722"/>
    <d v="2021-12-10T00:00:00"/>
    <n v="10"/>
    <s v="December"/>
    <n v="2021"/>
    <n v="34"/>
    <s v="Young Adults (25-34)"/>
    <s v="M"/>
    <s v="United States"/>
    <s v="California"/>
    <s v="Bikes"/>
    <s v="Mountain Bikes"/>
    <s v="Mountain-500 Black, 40"/>
    <n v="1"/>
    <n v="295"/>
    <n v="540"/>
    <n v="245"/>
    <n v="295"/>
    <n v="540"/>
    <x v="0"/>
  </r>
  <r>
    <s v="000261723"/>
    <d v="2021-12-10T00:00:00"/>
    <n v="10"/>
    <s v="December"/>
    <n v="2021"/>
    <n v="34"/>
    <s v="Young Adults (25-34)"/>
    <s v="F"/>
    <s v="United States"/>
    <s v="Washington"/>
    <s v="Bikes"/>
    <s v="Mountain Bikes"/>
    <s v="Mountain-100 Silver, 44"/>
    <n v="1"/>
    <n v="1912"/>
    <n v="3400"/>
    <n v="1488"/>
    <n v="1912"/>
    <n v="3400"/>
    <x v="0"/>
  </r>
  <r>
    <s v="000261724"/>
    <d v="2021-12-10T00:00:00"/>
    <n v="10"/>
    <s v="December"/>
    <n v="2021"/>
    <n v="38"/>
    <s v="Adults (35-64)"/>
    <s v="M"/>
    <s v="Australia"/>
    <s v="New South Wales"/>
    <s v="Bikes"/>
    <s v="Mountain Bikes"/>
    <s v="Mountain-200 Black, 38"/>
    <n v="1"/>
    <n v="1252"/>
    <n v="2295"/>
    <n v="1043"/>
    <n v="1252"/>
    <n v="2295"/>
    <x v="2"/>
  </r>
  <r>
    <s v="000261725"/>
    <d v="2021-12-11T00:00:00"/>
    <n v="11"/>
    <s v="December"/>
    <n v="2021"/>
    <n v="24"/>
    <s v="Youth (&lt;25)"/>
    <s v="F"/>
    <s v="France"/>
    <s v="Seine (Paris)"/>
    <s v="Bikes"/>
    <s v="Mountain Bikes"/>
    <s v="Mountain-200 Black, 38"/>
    <n v="3"/>
    <n v="1252"/>
    <n v="2295"/>
    <n v="3129"/>
    <n v="3756"/>
    <n v="6885"/>
    <x v="5"/>
  </r>
  <r>
    <s v="000261726"/>
    <d v="2021-12-11T00:00:00"/>
    <n v="11"/>
    <s v="December"/>
    <n v="2021"/>
    <n v="41"/>
    <s v="Adults (35-64)"/>
    <s v="F"/>
    <s v="Australia"/>
    <s v="New South Wales"/>
    <s v="Bikes"/>
    <s v="Mountain Bikes"/>
    <s v="Mountain-400-W Silver, 38"/>
    <n v="2"/>
    <n v="420"/>
    <n v="769"/>
    <n v="698"/>
    <n v="840"/>
    <n v="1538"/>
    <x v="2"/>
  </r>
  <r>
    <s v="000261727"/>
    <d v="2021-12-11T00:00:00"/>
    <n v="11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  <x v="4"/>
  </r>
  <r>
    <s v="000261728"/>
    <d v="2021-12-11T00:00:00"/>
    <n v="11"/>
    <s v="December"/>
    <n v="2021"/>
    <n v="37"/>
    <s v="Adults (35-64)"/>
    <s v="M"/>
    <s v="United States"/>
    <s v="California"/>
    <s v="Bikes"/>
    <s v="Mountain Bikes"/>
    <s v="Mountain-400-W Silver, 46"/>
    <n v="1"/>
    <n v="420"/>
    <n v="769"/>
    <n v="349"/>
    <n v="420"/>
    <n v="769"/>
    <x v="0"/>
  </r>
  <r>
    <s v="000261729"/>
    <d v="2021-12-11T00:00:00"/>
    <n v="11"/>
    <s v="December"/>
    <n v="2021"/>
    <n v="38"/>
    <s v="Adults (35-64)"/>
    <s v="F"/>
    <s v="United States"/>
    <s v="California"/>
    <s v="Bikes"/>
    <s v="Mountain Bikes"/>
    <s v="Mountain-200 Silver, 38"/>
    <n v="1"/>
    <n v="1266"/>
    <n v="2320"/>
    <n v="1054"/>
    <n v="1266"/>
    <n v="2320"/>
    <x v="0"/>
  </r>
  <r>
    <s v="000261730"/>
    <d v="2021-12-12T00:00:00"/>
    <n v="12"/>
    <s v="December"/>
    <n v="2021"/>
    <n v="36"/>
    <s v="Adults (35-64)"/>
    <s v="F"/>
    <s v="Australia"/>
    <s v="New South Wales"/>
    <s v="Bikes"/>
    <s v="Mountain Bikes"/>
    <s v="Mountain-200 Silver, 42"/>
    <n v="4"/>
    <n v="1266"/>
    <n v="2320"/>
    <n v="4216"/>
    <n v="5064"/>
    <n v="9280"/>
    <x v="2"/>
  </r>
  <r>
    <s v="000261731"/>
    <d v="2021-12-12T00:00:00"/>
    <n v="12"/>
    <s v="December"/>
    <n v="2021"/>
    <n v="37"/>
    <s v="Adults (35-64)"/>
    <s v="M"/>
    <s v="United States"/>
    <s v="California"/>
    <s v="Bikes"/>
    <s v="Mountain Bikes"/>
    <s v="Mountain-400-W Silver, 46"/>
    <n v="4"/>
    <n v="420"/>
    <n v="769"/>
    <n v="1396"/>
    <n v="1680"/>
    <n v="3076"/>
    <x v="0"/>
  </r>
  <r>
    <s v="000261732"/>
    <d v="2021-12-12T00:00:00"/>
    <n v="12"/>
    <s v="December"/>
    <n v="2021"/>
    <n v="34"/>
    <s v="Young Adults (25-34)"/>
    <s v="M"/>
    <s v="Australia"/>
    <s v="New South Wales"/>
    <s v="Bikes"/>
    <s v="Mountain Bikes"/>
    <s v="Mountain-200 Black, 38"/>
    <n v="2"/>
    <n v="1252"/>
    <n v="2295"/>
    <n v="2086"/>
    <n v="2504"/>
    <n v="4590"/>
    <x v="2"/>
  </r>
  <r>
    <s v="000261733"/>
    <d v="2021-12-12T00:00:00"/>
    <n v="12"/>
    <s v="December"/>
    <n v="2021"/>
    <n v="35"/>
    <s v="Adults (35-64)"/>
    <s v="F"/>
    <s v="Australia"/>
    <s v="Victoria"/>
    <s v="Bikes"/>
    <s v="Mountain Bikes"/>
    <s v="Mountain-200 Silver, 42"/>
    <n v="1"/>
    <n v="1266"/>
    <n v="2320"/>
    <n v="1054"/>
    <n v="1266"/>
    <n v="2320"/>
    <x v="2"/>
  </r>
  <r>
    <s v="000261734"/>
    <d v="2021-12-12T00:00:00"/>
    <n v="12"/>
    <s v="December"/>
    <n v="2021"/>
    <n v="38"/>
    <s v="Adults (35-64)"/>
    <s v="F"/>
    <s v="United States"/>
    <s v="Washington"/>
    <s v="Bikes"/>
    <s v="Mountain Bikes"/>
    <s v="Mountain-200 Silver, 42"/>
    <n v="1"/>
    <n v="1266"/>
    <n v="2320"/>
    <n v="1054"/>
    <n v="1266"/>
    <n v="2320"/>
    <x v="0"/>
  </r>
  <r>
    <s v="000261735"/>
    <d v="2021-12-13T00:00:00"/>
    <n v="13"/>
    <s v="December"/>
    <n v="2021"/>
    <n v="32"/>
    <s v="Young Adults (25-34)"/>
    <s v="F"/>
    <s v="Australia"/>
    <s v="Queensland"/>
    <s v="Bikes"/>
    <s v="Mountain Bikes"/>
    <s v="Mountain-200 Silver, 42"/>
    <n v="3"/>
    <n v="1266"/>
    <n v="2320"/>
    <n v="3162"/>
    <n v="3798"/>
    <n v="6960"/>
    <x v="2"/>
  </r>
  <r>
    <s v="000261736"/>
    <d v="2021-12-13T00:00:00"/>
    <n v="13"/>
    <s v="December"/>
    <n v="2021"/>
    <n v="40"/>
    <s v="Adults (35-64)"/>
    <s v="F"/>
    <s v="United States"/>
    <s v="California"/>
    <s v="Bikes"/>
    <s v="Mountain Bikes"/>
    <s v="Mountain-500 Silver, 40"/>
    <n v="1"/>
    <n v="308"/>
    <n v="565"/>
    <n v="257"/>
    <n v="308"/>
    <n v="565"/>
    <x v="0"/>
  </r>
  <r>
    <s v="000261737"/>
    <d v="2021-12-13T00:00:00"/>
    <n v="13"/>
    <s v="December"/>
    <n v="2021"/>
    <n v="44"/>
    <s v="Adults (35-64)"/>
    <s v="F"/>
    <s v="United Kingdom"/>
    <s v="England"/>
    <s v="Bikes"/>
    <s v="Mountain Bikes"/>
    <s v="Mountain-200 Black, 38"/>
    <n v="1"/>
    <n v="1252"/>
    <n v="2295"/>
    <n v="1043"/>
    <n v="1252"/>
    <n v="2295"/>
    <x v="1"/>
  </r>
  <r>
    <s v="000261738"/>
    <d v="2021-12-13T00:00:00"/>
    <n v="13"/>
    <s v="December"/>
    <n v="2021"/>
    <n v="49"/>
    <s v="Adults (35-64)"/>
    <s v="M"/>
    <s v="United Kingdom"/>
    <s v="England"/>
    <s v="Bikes"/>
    <s v="Mountain Bikes"/>
    <s v="Mountain-200 Black, 38"/>
    <n v="1"/>
    <n v="1252"/>
    <n v="2295"/>
    <n v="1043"/>
    <n v="1252"/>
    <n v="2295"/>
    <x v="1"/>
  </r>
  <r>
    <s v="000261739"/>
    <d v="2021-12-14T00:00:00"/>
    <n v="14"/>
    <s v="December"/>
    <n v="2021"/>
    <n v="30"/>
    <s v="Young Adults (25-34)"/>
    <s v="F"/>
    <s v="United States"/>
    <s v="Washington"/>
    <s v="Bikes"/>
    <s v="Mountain Bikes"/>
    <s v="Mountain-200 Silver, 38"/>
    <n v="2"/>
    <n v="1266"/>
    <n v="2320"/>
    <n v="2108"/>
    <n v="2532"/>
    <n v="4640"/>
    <x v="0"/>
  </r>
  <r>
    <s v="000261740"/>
    <d v="2021-12-14T00:00:00"/>
    <n v="14"/>
    <s v="December"/>
    <n v="2021"/>
    <n v="32"/>
    <s v="Young Adults (25-34)"/>
    <s v="M"/>
    <s v="United States"/>
    <s v="California"/>
    <s v="Bikes"/>
    <s v="Mountain Bikes"/>
    <s v="Mountain-200 Black, 46"/>
    <n v="1"/>
    <n v="1252"/>
    <n v="2295"/>
    <n v="1043"/>
    <n v="1252"/>
    <n v="2295"/>
    <x v="0"/>
  </r>
  <r>
    <s v="000261741"/>
    <d v="2021-12-14T00:00:00"/>
    <n v="14"/>
    <s v="December"/>
    <n v="2021"/>
    <n v="32"/>
    <s v="Young Adults (25-34)"/>
    <s v="F"/>
    <s v="Australia"/>
    <s v="Victoria"/>
    <s v="Bikes"/>
    <s v="Mountain Bikes"/>
    <s v="Mountain-400-W Silver, 46"/>
    <n v="1"/>
    <n v="420"/>
    <n v="769"/>
    <n v="349"/>
    <n v="420"/>
    <n v="769"/>
    <x v="2"/>
  </r>
  <r>
    <s v="000261742"/>
    <d v="2021-12-15T00:00:00"/>
    <n v="15"/>
    <s v="December"/>
    <n v="2021"/>
    <n v="29"/>
    <s v="Young Adults (25-34)"/>
    <s v="F"/>
    <s v="United States"/>
    <s v="California"/>
    <s v="Bikes"/>
    <s v="Mountain Bikes"/>
    <s v="Mountain-200 Silver, 42"/>
    <n v="1"/>
    <n v="1266"/>
    <n v="2320"/>
    <n v="1054"/>
    <n v="1266"/>
    <n v="2320"/>
    <x v="0"/>
  </r>
  <r>
    <s v="000261743"/>
    <d v="2021-12-16T00:00:00"/>
    <n v="16"/>
    <s v="December"/>
    <n v="2021"/>
    <n v="33"/>
    <s v="Young Adults (25-34)"/>
    <s v="F"/>
    <s v="Australia"/>
    <s v="New South Wales"/>
    <s v="Bikes"/>
    <s v="Mountain Bikes"/>
    <s v="Mountain-200 Black, 38"/>
    <n v="2"/>
    <n v="1252"/>
    <n v="2295"/>
    <n v="2086"/>
    <n v="2504"/>
    <n v="4590"/>
    <x v="2"/>
  </r>
  <r>
    <s v="000261744"/>
    <d v="2021-12-16T00:00:00"/>
    <n v="16"/>
    <s v="December"/>
    <n v="2021"/>
    <n v="38"/>
    <s v="Adults (35-64)"/>
    <s v="M"/>
    <s v="Australia"/>
    <s v="New South Wales"/>
    <s v="Bikes"/>
    <s v="Mountain Bikes"/>
    <s v="Mountain-200 Black, 38"/>
    <n v="2"/>
    <n v="1252"/>
    <n v="2295"/>
    <n v="2086"/>
    <n v="2504"/>
    <n v="4590"/>
    <x v="2"/>
  </r>
  <r>
    <s v="000261745"/>
    <d v="2021-12-16T00:00:00"/>
    <n v="16"/>
    <s v="December"/>
    <n v="2021"/>
    <n v="27"/>
    <s v="Young Adults (25-34)"/>
    <s v="F"/>
    <s v="France"/>
    <s v="Seine et Marne"/>
    <s v="Bikes"/>
    <s v="Mountain Bikes"/>
    <s v="Mountain-200 Silver, 46"/>
    <n v="1"/>
    <n v="1266"/>
    <n v="2320"/>
    <n v="1054"/>
    <n v="1266"/>
    <n v="2320"/>
    <x v="5"/>
  </r>
  <r>
    <s v="000261746"/>
    <d v="2021-12-17T00:00:00"/>
    <n v="17"/>
    <s v="December"/>
    <n v="2021"/>
    <n v="37"/>
    <s v="Adults (35-64)"/>
    <s v="F"/>
    <s v="United States"/>
    <s v="Washington"/>
    <s v="Bikes"/>
    <s v="Mountain Bikes"/>
    <s v="Mountain-200 Silver, 38"/>
    <n v="2"/>
    <n v="1266"/>
    <n v="2320"/>
    <n v="2108"/>
    <n v="2532"/>
    <n v="4640"/>
    <x v="0"/>
  </r>
  <r>
    <s v="000261747"/>
    <d v="2021-12-17T00:00:00"/>
    <n v="17"/>
    <s v="December"/>
    <n v="2021"/>
    <n v="31"/>
    <s v="Young Adults (25-34)"/>
    <s v="M"/>
    <s v="Australia"/>
    <s v="New South Wales"/>
    <s v="Bikes"/>
    <s v="Mountain Bikes"/>
    <s v="Mountain-400-W Silver, 42"/>
    <n v="1"/>
    <n v="420"/>
    <n v="769"/>
    <n v="349"/>
    <n v="420"/>
    <n v="769"/>
    <x v="2"/>
  </r>
  <r>
    <s v="000261748"/>
    <d v="2021-12-17T00:00:00"/>
    <n v="17"/>
    <s v="December"/>
    <n v="2021"/>
    <n v="42"/>
    <s v="Adults (35-64)"/>
    <s v="F"/>
    <s v="Germany"/>
    <s v="Nordrhein-Westfalen"/>
    <s v="Bikes"/>
    <s v="Mountain Bikes"/>
    <s v="Mountain-200 Silver, 46"/>
    <n v="1"/>
    <n v="1266"/>
    <n v="2320"/>
    <n v="1054"/>
    <n v="1266"/>
    <n v="2320"/>
    <x v="3"/>
  </r>
  <r>
    <s v="000261749"/>
    <d v="2021-12-18T00:00:00"/>
    <n v="18"/>
    <s v="December"/>
    <n v="2021"/>
    <n v="35"/>
    <s v="Adults (35-64)"/>
    <s v="F"/>
    <s v="Australia"/>
    <s v="New South Wales"/>
    <s v="Bikes"/>
    <s v="Mountain Bikes"/>
    <s v="Mountain-500 Silver, 42"/>
    <n v="4"/>
    <n v="308"/>
    <n v="565"/>
    <n v="1028"/>
    <n v="1232"/>
    <n v="2260"/>
    <x v="2"/>
  </r>
  <r>
    <s v="000261750"/>
    <d v="2021-12-18T00:00:00"/>
    <n v="18"/>
    <s v="December"/>
    <n v="2021"/>
    <n v="38"/>
    <s v="Adults (35-64)"/>
    <s v="F"/>
    <s v="Germany"/>
    <s v="Nordrhein-Westfalen"/>
    <s v="Bikes"/>
    <s v="Mountain Bikes"/>
    <s v="Mountain-200 Silver, 46"/>
    <n v="4"/>
    <n v="1266"/>
    <n v="2320"/>
    <n v="4216"/>
    <n v="5064"/>
    <n v="9280"/>
    <x v="3"/>
  </r>
  <r>
    <s v="000261751"/>
    <d v="2021-12-18T00:00:00"/>
    <n v="18"/>
    <s v="December"/>
    <n v="2021"/>
    <n v="24"/>
    <s v="Youth (&lt;25)"/>
    <s v="F"/>
    <s v="France"/>
    <s v="Seine Saint Denis"/>
    <s v="Bikes"/>
    <s v="Mountain Bikes"/>
    <s v="Mountain-200 Silver, 38"/>
    <n v="3"/>
    <n v="1266"/>
    <n v="2320"/>
    <n v="3162"/>
    <n v="3798"/>
    <n v="6960"/>
    <x v="5"/>
  </r>
  <r>
    <s v="000261752"/>
    <d v="2021-12-18T00:00:00"/>
    <n v="18"/>
    <s v="December"/>
    <n v="2021"/>
    <n v="26"/>
    <s v="Young Adults (25-34)"/>
    <s v="F"/>
    <s v="United Kingdom"/>
    <s v="England"/>
    <s v="Bikes"/>
    <s v="Mountain Bikes"/>
    <s v="Mountain-400-W Silver, 42"/>
    <n v="3"/>
    <n v="420"/>
    <n v="769"/>
    <n v="1047"/>
    <n v="1260"/>
    <n v="2307"/>
    <x v="1"/>
  </r>
  <r>
    <s v="000261753"/>
    <d v="2021-12-18T00:00:00"/>
    <n v="18"/>
    <s v="December"/>
    <n v="2021"/>
    <n v="39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  <x v="0"/>
  </r>
  <r>
    <s v="000261754"/>
    <d v="2021-12-18T00:00:00"/>
    <n v="18"/>
    <s v="December"/>
    <n v="2021"/>
    <n v="26"/>
    <s v="Young Adults (25-34)"/>
    <s v="M"/>
    <s v="France"/>
    <s v="Seine (Paris)"/>
    <s v="Bikes"/>
    <s v="Mountain Bikes"/>
    <s v="Mountain-200 Black, 46"/>
    <n v="1"/>
    <n v="1252"/>
    <n v="2295"/>
    <n v="1043"/>
    <n v="1252"/>
    <n v="2295"/>
    <x v="5"/>
  </r>
  <r>
    <s v="000261755"/>
    <d v="2021-12-18T00:00:00"/>
    <n v="18"/>
    <s v="December"/>
    <n v="2021"/>
    <n v="36"/>
    <s v="Adults (35-64)"/>
    <s v="M"/>
    <s v="United States"/>
    <s v="Washington"/>
    <s v="Bikes"/>
    <s v="Mountain Bikes"/>
    <s v="Mountain-200 Silver, 38"/>
    <n v="1"/>
    <n v="1266"/>
    <n v="2320"/>
    <n v="1054"/>
    <n v="1266"/>
    <n v="2320"/>
    <x v="0"/>
  </r>
  <r>
    <s v="000261756"/>
    <d v="2021-12-19T00:00:00"/>
    <n v="19"/>
    <s v="December"/>
    <n v="2021"/>
    <n v="17"/>
    <s v="Youth (&lt;25)"/>
    <s v="M"/>
    <s v="France"/>
    <s v="Nord"/>
    <s v="Bikes"/>
    <s v="Mountain Bikes"/>
    <s v="Mountain-200 Silver, 46"/>
    <n v="4"/>
    <n v="1266"/>
    <n v="2320"/>
    <n v="4216"/>
    <n v="5064"/>
    <n v="9280"/>
    <x v="5"/>
  </r>
  <r>
    <s v="000261757"/>
    <d v="2021-12-19T00:00:00"/>
    <n v="19"/>
    <s v="December"/>
    <n v="2021"/>
    <n v="19"/>
    <s v="Youth (&lt;25)"/>
    <s v="F"/>
    <s v="Australia"/>
    <s v="Victoria"/>
    <s v="Bikes"/>
    <s v="Mountain Bikes"/>
    <s v="Mountain-500 Black, 44"/>
    <n v="4"/>
    <n v="295"/>
    <n v="540"/>
    <n v="980"/>
    <n v="1180"/>
    <n v="2160"/>
    <x v="2"/>
  </r>
  <r>
    <s v="000261758"/>
    <d v="2021-12-19T00:00:00"/>
    <n v="19"/>
    <s v="December"/>
    <n v="2021"/>
    <n v="25"/>
    <s v="Young Adults (25-34)"/>
    <s v="M"/>
    <s v="France"/>
    <s v="Seine (Paris)"/>
    <s v="Bikes"/>
    <s v="Mountain Bikes"/>
    <s v="Mountain-200 Black, 38"/>
    <n v="4"/>
    <n v="1252"/>
    <n v="2295"/>
    <n v="4172"/>
    <n v="5008"/>
    <n v="9180"/>
    <x v="5"/>
  </r>
  <r>
    <s v="000261759"/>
    <d v="2021-12-19T00:00:00"/>
    <n v="19"/>
    <s v="December"/>
    <n v="2021"/>
    <n v="35"/>
    <s v="Adults (35-64)"/>
    <s v="F"/>
    <s v="United States"/>
    <s v="Oregon"/>
    <s v="Bikes"/>
    <s v="Mountain Bikes"/>
    <s v="Mountain-100 Black, 48"/>
    <n v="4"/>
    <n v="1898"/>
    <n v="3375"/>
    <n v="5908"/>
    <n v="7592"/>
    <n v="13500"/>
    <x v="0"/>
  </r>
  <r>
    <s v="000261760"/>
    <d v="2021-12-19T00:00:00"/>
    <n v="19"/>
    <s v="December"/>
    <n v="2021"/>
    <n v="37"/>
    <s v="Adults (35-64)"/>
    <s v="M"/>
    <s v="United States"/>
    <s v="Oregon"/>
    <s v="Bikes"/>
    <s v="Mountain Bikes"/>
    <s v="Mountain-200 Black, 38"/>
    <n v="4"/>
    <n v="1252"/>
    <n v="2295"/>
    <n v="4172"/>
    <n v="5008"/>
    <n v="9180"/>
    <x v="0"/>
  </r>
  <r>
    <s v="000261761"/>
    <d v="2021-12-19T00:00:00"/>
    <n v="19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  <x v="0"/>
  </r>
  <r>
    <s v="000261762"/>
    <d v="2021-12-19T00:00:00"/>
    <n v="19"/>
    <s v="December"/>
    <n v="2021"/>
    <n v="63"/>
    <s v="Adults (35-64)"/>
    <s v="F"/>
    <s v="Australia"/>
    <s v="Queensland"/>
    <s v="Bikes"/>
    <s v="Mountain Bikes"/>
    <s v="Mountain-200 Black, 46"/>
    <n v="4"/>
    <n v="1252"/>
    <n v="2295"/>
    <n v="4172"/>
    <n v="5008"/>
    <n v="9180"/>
    <x v="2"/>
  </r>
  <r>
    <s v="000261763"/>
    <d v="2021-12-19T00:00:00"/>
    <n v="19"/>
    <s v="December"/>
    <n v="2021"/>
    <n v="18"/>
    <s v="Youth (&lt;25)"/>
    <s v="M"/>
    <s v="Australia"/>
    <s v="South Australia"/>
    <s v="Bikes"/>
    <s v="Mountain Bikes"/>
    <s v="Mountain-500 Black, 40"/>
    <n v="2"/>
    <n v="295"/>
    <n v="540"/>
    <n v="490"/>
    <n v="590"/>
    <n v="1080"/>
    <x v="2"/>
  </r>
  <r>
    <s v="000261764"/>
    <d v="2021-12-19T00:00:00"/>
    <n v="19"/>
    <s v="December"/>
    <n v="2021"/>
    <n v="56"/>
    <s v="Adults (35-64)"/>
    <s v="F"/>
    <s v="Germany"/>
    <s v="Hessen"/>
    <s v="Bikes"/>
    <s v="Mountain Bikes"/>
    <s v="Mountain-200 Black, 46"/>
    <n v="2"/>
    <n v="1252"/>
    <n v="2295"/>
    <n v="2086"/>
    <n v="2504"/>
    <n v="4590"/>
    <x v="3"/>
  </r>
  <r>
    <s v="000261765"/>
    <d v="2021-12-19T00:00:00"/>
    <n v="19"/>
    <s v="December"/>
    <n v="2021"/>
    <n v="39"/>
    <s v="Adults (35-64)"/>
    <s v="F"/>
    <s v="United States"/>
    <s v="Washington"/>
    <s v="Bikes"/>
    <s v="Mountain Bikes"/>
    <s v="Mountain-200 Silver, 38"/>
    <n v="1"/>
    <n v="1266"/>
    <n v="2320"/>
    <n v="1054"/>
    <n v="1266"/>
    <n v="2320"/>
    <x v="0"/>
  </r>
  <r>
    <s v="000261766"/>
    <d v="2021-12-20T00:00:00"/>
    <n v="20"/>
    <s v="December"/>
    <n v="2021"/>
    <n v="33"/>
    <s v="Young Adults (25-34)"/>
    <s v="F"/>
    <s v="Australia"/>
    <s v="Victoria"/>
    <s v="Bikes"/>
    <s v="Mountain Bikes"/>
    <s v="Mountain-100 Black, 38"/>
    <n v="4"/>
    <n v="1898"/>
    <n v="3375"/>
    <n v="5908"/>
    <n v="7592"/>
    <n v="13500"/>
    <x v="2"/>
  </r>
  <r>
    <s v="000261767"/>
    <d v="2021-12-20T00:00:00"/>
    <n v="20"/>
    <s v="December"/>
    <n v="2021"/>
    <n v="57"/>
    <s v="Adults (35-64)"/>
    <s v="M"/>
    <s v="Australia"/>
    <s v="Queensland"/>
    <s v="Bikes"/>
    <s v="Mountain Bikes"/>
    <s v="Mountain-200 Black, 46"/>
    <n v="4"/>
    <n v="1252"/>
    <n v="2295"/>
    <n v="4172"/>
    <n v="5008"/>
    <n v="9180"/>
    <x v="2"/>
  </r>
  <r>
    <s v="000261768"/>
    <d v="2021-12-20T00:00:00"/>
    <n v="20"/>
    <s v="December"/>
    <n v="2021"/>
    <n v="29"/>
    <s v="Young Adults (25-34)"/>
    <s v="M"/>
    <s v="Canada"/>
    <s v="British Columbia"/>
    <s v="Bikes"/>
    <s v="Mountain Bikes"/>
    <s v="Mountain-500 Black, 52"/>
    <n v="3"/>
    <n v="295"/>
    <n v="540"/>
    <n v="735"/>
    <n v="885"/>
    <n v="1620"/>
    <x v="4"/>
  </r>
  <r>
    <s v="000261769"/>
    <d v="2021-12-20T00:00:00"/>
    <n v="20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  <x v="2"/>
  </r>
  <r>
    <s v="000261770"/>
    <d v="2021-12-20T00:00:00"/>
    <n v="20"/>
    <s v="December"/>
    <n v="2021"/>
    <n v="35"/>
    <s v="Adults (35-64)"/>
    <s v="M"/>
    <s v="Australia"/>
    <s v="Victoria"/>
    <s v="Bikes"/>
    <s v="Mountain Bikes"/>
    <s v="Mountain-200 Silver, 38"/>
    <n v="1"/>
    <n v="1266"/>
    <n v="2320"/>
    <n v="1054"/>
    <n v="1266"/>
    <n v="2320"/>
    <x v="2"/>
  </r>
  <r>
    <s v="000261771"/>
    <d v="2021-12-21T00:00:00"/>
    <n v="21"/>
    <s v="December"/>
    <n v="2021"/>
    <n v="26"/>
    <s v="Young Adults (25-34)"/>
    <s v="M"/>
    <s v="France"/>
    <s v="Somme"/>
    <s v="Bikes"/>
    <s v="Mountain Bikes"/>
    <s v="Mountain-200 Silver, 38"/>
    <n v="3"/>
    <n v="1266"/>
    <n v="2320"/>
    <n v="3162"/>
    <n v="3798"/>
    <n v="6960"/>
    <x v="5"/>
  </r>
  <r>
    <s v="000261772"/>
    <d v="2021-12-21T00:00:00"/>
    <n v="21"/>
    <s v="December"/>
    <n v="2021"/>
    <n v="23"/>
    <s v="Youth (&lt;25)"/>
    <s v="M"/>
    <s v="United Kingdom"/>
    <s v="England"/>
    <s v="Bikes"/>
    <s v="Mountain Bikes"/>
    <s v="Mountain-400-W Silver, 46"/>
    <n v="2"/>
    <n v="420"/>
    <n v="769"/>
    <n v="698"/>
    <n v="840"/>
    <n v="1538"/>
    <x v="1"/>
  </r>
  <r>
    <s v="000261773"/>
    <d v="2021-12-22T00:00:00"/>
    <n v="22"/>
    <s v="December"/>
    <n v="2021"/>
    <n v="30"/>
    <s v="Young Adults (25-34)"/>
    <s v="F"/>
    <s v="United States"/>
    <s v="Washington"/>
    <s v="Bikes"/>
    <s v="Mountain Bikes"/>
    <s v="Mountain-200 Silver, 38"/>
    <n v="3"/>
    <n v="1266"/>
    <n v="2320"/>
    <n v="3162"/>
    <n v="3798"/>
    <n v="6960"/>
    <x v="0"/>
  </r>
  <r>
    <s v="000261774"/>
    <d v="2021-12-22T00:00:00"/>
    <n v="22"/>
    <s v="December"/>
    <n v="2021"/>
    <n v="41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  <x v="0"/>
  </r>
  <r>
    <s v="000261775"/>
    <d v="2021-12-22T00:00:00"/>
    <n v="22"/>
    <s v="December"/>
    <n v="2021"/>
    <n v="19"/>
    <s v="Youth (&lt;25)"/>
    <s v="F"/>
    <s v="Australia"/>
    <s v="New South Wales"/>
    <s v="Bikes"/>
    <s v="Mountain Bikes"/>
    <s v="Mountain-500 Silver, 42"/>
    <n v="1"/>
    <n v="308"/>
    <n v="565"/>
    <n v="257"/>
    <n v="308"/>
    <n v="565"/>
    <x v="2"/>
  </r>
  <r>
    <s v="000261776"/>
    <d v="2021-12-22T00:00:00"/>
    <n v="22"/>
    <s v="December"/>
    <n v="2021"/>
    <n v="25"/>
    <s v="Young Adults (25-34)"/>
    <s v="M"/>
    <s v="France"/>
    <s v="Seine (Paris)"/>
    <s v="Bikes"/>
    <s v="Mountain Bikes"/>
    <s v="Mountain-200 Black, 38"/>
    <n v="1"/>
    <n v="1252"/>
    <n v="2295"/>
    <n v="1043"/>
    <n v="1252"/>
    <n v="2295"/>
    <x v="5"/>
  </r>
  <r>
    <s v="000261777"/>
    <d v="2021-12-22T00:00:00"/>
    <n v="22"/>
    <s v="December"/>
    <n v="2021"/>
    <n v="27"/>
    <s v="Young Adults (25-34)"/>
    <s v="F"/>
    <s v="Canada"/>
    <s v="British Columbia"/>
    <s v="Bikes"/>
    <s v="Mountain Bikes"/>
    <s v="Mountain-200 Black, 46"/>
    <n v="1"/>
    <n v="1252"/>
    <n v="2295"/>
    <n v="1043"/>
    <n v="1252"/>
    <n v="2295"/>
    <x v="4"/>
  </r>
  <r>
    <s v="000261778"/>
    <d v="2021-12-22T00:00:00"/>
    <n v="22"/>
    <s v="December"/>
    <n v="2021"/>
    <n v="41"/>
    <s v="Adults (35-64)"/>
    <s v="M"/>
    <s v="Germany"/>
    <s v="Hessen"/>
    <s v="Bikes"/>
    <s v="Mountain Bikes"/>
    <s v="Mountain-200 Silver, 38"/>
    <n v="1"/>
    <n v="1266"/>
    <n v="2320"/>
    <n v="1054"/>
    <n v="1266"/>
    <n v="2320"/>
    <x v="3"/>
  </r>
  <r>
    <s v="000261779"/>
    <d v="2021-12-23T00:00:00"/>
    <n v="23"/>
    <s v="December"/>
    <n v="2021"/>
    <n v="30"/>
    <s v="Young Adults (25-34)"/>
    <s v="F"/>
    <s v="United States"/>
    <s v="Oregon"/>
    <s v="Bikes"/>
    <s v="Mountain Bikes"/>
    <s v="Mountain-200 Silver, 42"/>
    <n v="1"/>
    <n v="1266"/>
    <n v="2320"/>
    <n v="1054"/>
    <n v="1266"/>
    <n v="2320"/>
    <x v="0"/>
  </r>
  <r>
    <s v="000261780"/>
    <d v="2021-12-23T00:00:00"/>
    <n v="23"/>
    <s v="December"/>
    <n v="2021"/>
    <n v="31"/>
    <s v="Young Adults (25-34)"/>
    <s v="F"/>
    <s v="Canada"/>
    <s v="British Columbia"/>
    <s v="Bikes"/>
    <s v="Mountain Bikes"/>
    <s v="Mountain-200 Black, 42"/>
    <n v="1"/>
    <n v="1252"/>
    <n v="2295"/>
    <n v="1043"/>
    <n v="1252"/>
    <n v="2295"/>
    <x v="4"/>
  </r>
  <r>
    <s v="000261781"/>
    <d v="2021-12-23T00:00:00"/>
    <n v="23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  <x v="0"/>
  </r>
  <r>
    <s v="000261782"/>
    <d v="2021-12-24T00:00:00"/>
    <n v="24"/>
    <s v="December"/>
    <n v="2021"/>
    <n v="38"/>
    <s v="Adults (35-64)"/>
    <s v="M"/>
    <s v="Australia"/>
    <s v="Queensland"/>
    <s v="Bikes"/>
    <s v="Mountain Bikes"/>
    <s v="Mountain-200 Black, 42"/>
    <n v="4"/>
    <n v="1252"/>
    <n v="2295"/>
    <n v="4172"/>
    <n v="5008"/>
    <n v="918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02C1F-8919-4951-A619-66AD88842105}" name="PivotTable1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numFmtId="8" showAll="0"/>
    <pivotField numFmtId="8" showAll="0"/>
    <pivotField numFmtId="8" showAll="0"/>
    <pivotField dataField="1" numFmtId="8" showAll="0"/>
    <pivotField axis="axisRow" showAll="0">
      <items count="7">
        <item x="2"/>
        <item x="4"/>
        <item x="5"/>
        <item x="3"/>
        <item x="1"/>
        <item x="0"/>
        <item t="default"/>
      </items>
    </pivotField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8" baseField="0" baseItem="0"/>
  </dataFields>
  <formats count="7">
    <format dxfId="6">
      <pivotArea collapsedLevelsAreSubtotals="1" fieldPosition="0">
        <references count="1">
          <reference field="19" count="1">
            <x v="0"/>
          </reference>
        </references>
      </pivotArea>
    </format>
    <format dxfId="5">
      <pivotArea collapsedLevelsAreSubtotals="1" fieldPosition="0">
        <references count="1">
          <reference field="19" count="1">
            <x v="1"/>
          </reference>
        </references>
      </pivotArea>
    </format>
    <format dxfId="4">
      <pivotArea collapsedLevelsAreSubtotals="1" fieldPosition="0">
        <references count="1">
          <reference field="19" count="1">
            <x v="2"/>
          </reference>
        </references>
      </pivotArea>
    </format>
    <format dxfId="3">
      <pivotArea collapsedLevelsAreSubtotals="1" fieldPosition="0">
        <references count="1">
          <reference field="19" count="1">
            <x v="3"/>
          </reference>
        </references>
      </pivotArea>
    </format>
    <format dxfId="2">
      <pivotArea collapsedLevelsAreSubtotals="1" fieldPosition="0">
        <references count="1">
          <reference field="19" count="1">
            <x v="4"/>
          </reference>
        </references>
      </pivotArea>
    </format>
    <format dxfId="1">
      <pivotArea collapsedLevelsAreSubtotals="1" fieldPosition="0">
        <references count="1">
          <reference field="19" count="1">
            <x v="5"/>
          </reference>
        </references>
      </pivotArea>
    </format>
    <format dxfId="0">
      <pivotArea grandRow="1"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C3D4-59AA-41CF-A7FD-5B16A88BB4E4}">
  <dimension ref="A3:B10"/>
  <sheetViews>
    <sheetView tabSelected="1" workbookViewId="0">
      <selection activeCell="I23" sqref="I23"/>
    </sheetView>
  </sheetViews>
  <sheetFormatPr defaultRowHeight="14.4" x14ac:dyDescent="0.3"/>
  <cols>
    <col min="1" max="1" width="14" bestFit="1" customWidth="1"/>
    <col min="2" max="2" width="14.88671875" bestFit="1" customWidth="1"/>
  </cols>
  <sheetData>
    <row r="3" spans="1:2" x14ac:dyDescent="0.3">
      <c r="A3" s="9" t="s">
        <v>172</v>
      </c>
      <c r="B3" t="s">
        <v>174</v>
      </c>
    </row>
    <row r="4" spans="1:2" x14ac:dyDescent="0.3">
      <c r="A4" s="8" t="s">
        <v>36</v>
      </c>
      <c r="B4" s="10">
        <v>111506</v>
      </c>
    </row>
    <row r="5" spans="1:2" x14ac:dyDescent="0.3">
      <c r="A5" s="8" t="s">
        <v>58</v>
      </c>
      <c r="B5" s="10">
        <v>20080</v>
      </c>
    </row>
    <row r="6" spans="1:2" x14ac:dyDescent="0.3">
      <c r="A6" s="8" t="s">
        <v>87</v>
      </c>
      <c r="B6" s="11">
        <v>46175</v>
      </c>
    </row>
    <row r="7" spans="1:2" x14ac:dyDescent="0.3">
      <c r="A7" s="8" t="s">
        <v>50</v>
      </c>
      <c r="B7" s="10">
        <v>30010</v>
      </c>
    </row>
    <row r="8" spans="1:2" x14ac:dyDescent="0.3">
      <c r="A8" s="8" t="s">
        <v>29</v>
      </c>
      <c r="B8" s="10">
        <v>19972</v>
      </c>
    </row>
    <row r="9" spans="1:2" x14ac:dyDescent="0.3">
      <c r="A9" s="8" t="s">
        <v>23</v>
      </c>
      <c r="B9" s="10">
        <v>133489</v>
      </c>
    </row>
    <row r="10" spans="1:2" x14ac:dyDescent="0.3">
      <c r="A10" s="8" t="s">
        <v>173</v>
      </c>
      <c r="B10" s="11">
        <v>361232</v>
      </c>
    </row>
  </sheetData>
  <pageMargins left="0.7" right="0.7" top="0.75" bottom="0.75" header="0.3" footer="0.3"/>
  <pageSetup paperSize="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zoomScaleNormal="100" workbookViewId="0">
      <selection activeCell="U10" sqref="U10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6" max="6" width="13.44140625" bestFit="1" customWidth="1"/>
    <col min="7" max="7" width="19.6640625" style="8" bestFit="1" customWidth="1"/>
    <col min="8" max="8" width="16.33203125" bestFit="1" customWidth="1"/>
    <col min="9" max="9" width="15.44140625" bestFit="1" customWidth="1"/>
    <col min="10" max="10" width="19.88671875" bestFit="1" customWidth="1"/>
    <col min="11" max="11" width="16.33203125" bestFit="1" customWidth="1"/>
    <col min="12" max="12" width="14.88671875" bestFit="1" customWidth="1"/>
    <col min="13" max="13" width="25" bestFit="1" customWidth="1"/>
    <col min="14" max="14" width="14.2187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  <col min="20" max="20" width="18.5546875" bestFit="1" customWidth="1"/>
    <col min="21" max="21" width="7.109375" bestFit="1" customWidth="1"/>
  </cols>
  <sheetData>
    <row r="1" spans="1:20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175</v>
      </c>
    </row>
    <row r="2" spans="1:20" x14ac:dyDescent="0.3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  <c r="T2" t="str">
        <f>TRIM(CLEAN(I2))</f>
        <v>United States</v>
      </c>
    </row>
    <row r="3" spans="1:20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  <c r="T3" t="str">
        <f t="shared" ref="T3:T66" si="2">TRIM(CLEAN(I3))</f>
        <v>United Kingdom</v>
      </c>
    </row>
    <row r="4" spans="1:20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  <c r="T4" t="str">
        <f t="shared" si="2"/>
        <v>United States</v>
      </c>
    </row>
    <row r="5" spans="1:20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  <c r="T5" t="str">
        <f t="shared" si="2"/>
        <v>Australia</v>
      </c>
    </row>
    <row r="6" spans="1:20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  <c r="T6" t="str">
        <f t="shared" si="2"/>
        <v>United States</v>
      </c>
    </row>
    <row r="7" spans="1:20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  <c r="T7" t="str">
        <f t="shared" si="2"/>
        <v>United Kingdom</v>
      </c>
    </row>
    <row r="8" spans="1:20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  <c r="T8" t="str">
        <f t="shared" si="2"/>
        <v>United States</v>
      </c>
    </row>
    <row r="9" spans="1:20" x14ac:dyDescent="0.3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  <c r="T9" t="str">
        <f t="shared" si="2"/>
        <v>Australia</v>
      </c>
    </row>
    <row r="10" spans="1:20" x14ac:dyDescent="0.3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  <c r="T10" t="str">
        <f t="shared" si="2"/>
        <v>United States</v>
      </c>
    </row>
    <row r="11" spans="1:20" x14ac:dyDescent="0.3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  <c r="T11" t="str">
        <f t="shared" si="2"/>
        <v>Germany</v>
      </c>
    </row>
    <row r="12" spans="1:20" x14ac:dyDescent="0.3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  <c r="T12" t="str">
        <f t="shared" si="2"/>
        <v>Australia</v>
      </c>
    </row>
    <row r="13" spans="1:20" x14ac:dyDescent="0.3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  <c r="T13" t="str">
        <f t="shared" si="2"/>
        <v>United States</v>
      </c>
    </row>
    <row r="14" spans="1:20" x14ac:dyDescent="0.3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  <c r="T14" t="str">
        <f t="shared" si="2"/>
        <v>United Kingdom</v>
      </c>
    </row>
    <row r="15" spans="1:20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  <c r="T15" t="str">
        <f t="shared" si="2"/>
        <v>Canada</v>
      </c>
    </row>
    <row r="16" spans="1:20" x14ac:dyDescent="0.3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  <c r="T16" t="str">
        <f t="shared" si="2"/>
        <v>Australia</v>
      </c>
    </row>
    <row r="17" spans="1:20" x14ac:dyDescent="0.3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  <c r="T17" t="str">
        <f t="shared" si="2"/>
        <v>United Kingdom</v>
      </c>
    </row>
    <row r="18" spans="1:20" x14ac:dyDescent="0.3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  <c r="T18" t="str">
        <f t="shared" si="2"/>
        <v>United States</v>
      </c>
    </row>
    <row r="19" spans="1:20" x14ac:dyDescent="0.3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  <c r="T19" t="str">
        <f t="shared" si="2"/>
        <v>United States</v>
      </c>
    </row>
    <row r="20" spans="1:20" x14ac:dyDescent="0.3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  <c r="T20" t="str">
        <f t="shared" si="2"/>
        <v>Australia</v>
      </c>
    </row>
    <row r="21" spans="1:20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  <c r="T21" t="str">
        <f t="shared" si="2"/>
        <v>Canada</v>
      </c>
    </row>
    <row r="22" spans="1:20" x14ac:dyDescent="0.3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  <c r="T22" t="str">
        <f t="shared" si="2"/>
        <v>United States</v>
      </c>
    </row>
    <row r="23" spans="1:20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  <c r="T23" t="str">
        <f t="shared" si="2"/>
        <v>United States</v>
      </c>
    </row>
    <row r="24" spans="1:20" x14ac:dyDescent="0.3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  <c r="T24" t="str">
        <f t="shared" si="2"/>
        <v>Australia</v>
      </c>
    </row>
    <row r="25" spans="1:20" x14ac:dyDescent="0.3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  <c r="T25" t="str">
        <f t="shared" si="2"/>
        <v>Germany</v>
      </c>
    </row>
    <row r="26" spans="1:20" x14ac:dyDescent="0.3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  <c r="T26" t="str">
        <f t="shared" si="2"/>
        <v>United States</v>
      </c>
    </row>
    <row r="27" spans="1:20" x14ac:dyDescent="0.3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  <c r="T27" t="str">
        <f t="shared" si="2"/>
        <v>Australia</v>
      </c>
    </row>
    <row r="28" spans="1:20" x14ac:dyDescent="0.3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  <c r="T28" t="str">
        <f t="shared" si="2"/>
        <v>United Kingdom</v>
      </c>
    </row>
    <row r="29" spans="1:20" x14ac:dyDescent="0.3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  <c r="T29" t="str">
        <f t="shared" si="2"/>
        <v>United States</v>
      </c>
    </row>
    <row r="30" spans="1:20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  <c r="T30" t="str">
        <f t="shared" si="2"/>
        <v>United States</v>
      </c>
    </row>
    <row r="31" spans="1:20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  <c r="T31" t="str">
        <f t="shared" si="2"/>
        <v>Australia</v>
      </c>
    </row>
    <row r="32" spans="1:20" x14ac:dyDescent="0.3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  <c r="T32" t="str">
        <f t="shared" si="2"/>
        <v>France</v>
      </c>
    </row>
    <row r="33" spans="1:20" x14ac:dyDescent="0.3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  <c r="T33" t="str">
        <f t="shared" si="2"/>
        <v>Australia</v>
      </c>
    </row>
    <row r="34" spans="1:20" x14ac:dyDescent="0.3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  <c r="T34" t="str">
        <f t="shared" si="2"/>
        <v>Canada</v>
      </c>
    </row>
    <row r="35" spans="1:20" x14ac:dyDescent="0.3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  <c r="T35" t="str">
        <f t="shared" si="2"/>
        <v>United States</v>
      </c>
    </row>
    <row r="36" spans="1:20" x14ac:dyDescent="0.3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  <c r="T36" t="str">
        <f t="shared" si="2"/>
        <v>United States</v>
      </c>
    </row>
    <row r="37" spans="1:20" x14ac:dyDescent="0.3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  <c r="T37" t="str">
        <f t="shared" si="2"/>
        <v>Australia</v>
      </c>
    </row>
    <row r="38" spans="1:20" x14ac:dyDescent="0.3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  <c r="T38" t="str">
        <f t="shared" si="2"/>
        <v>United States</v>
      </c>
    </row>
    <row r="39" spans="1:20" x14ac:dyDescent="0.3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  <c r="T39" t="str">
        <f t="shared" si="2"/>
        <v>Australia</v>
      </c>
    </row>
    <row r="40" spans="1:20" x14ac:dyDescent="0.3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  <c r="T40" t="str">
        <f t="shared" si="2"/>
        <v>Australia</v>
      </c>
    </row>
    <row r="41" spans="1:20" x14ac:dyDescent="0.3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  <c r="T41" t="str">
        <f t="shared" si="2"/>
        <v>United States</v>
      </c>
    </row>
    <row r="42" spans="1:20" x14ac:dyDescent="0.3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  <c r="T42" t="str">
        <f t="shared" si="2"/>
        <v>Australia</v>
      </c>
    </row>
    <row r="43" spans="1:20" x14ac:dyDescent="0.3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  <c r="T43" t="str">
        <f t="shared" si="2"/>
        <v>United States</v>
      </c>
    </row>
    <row r="44" spans="1:20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  <c r="T44" t="str">
        <f t="shared" si="2"/>
        <v>United Kingdom</v>
      </c>
    </row>
    <row r="45" spans="1:20" x14ac:dyDescent="0.3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  <c r="T45" t="str">
        <f t="shared" si="2"/>
        <v>United Kingdom</v>
      </c>
    </row>
    <row r="46" spans="1:20" x14ac:dyDescent="0.3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  <c r="T46" t="str">
        <f t="shared" si="2"/>
        <v>United States</v>
      </c>
    </row>
    <row r="47" spans="1:20" x14ac:dyDescent="0.3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  <c r="T47" t="str">
        <f t="shared" si="2"/>
        <v>United States</v>
      </c>
    </row>
    <row r="48" spans="1:20" x14ac:dyDescent="0.3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  <c r="T48" t="str">
        <f t="shared" si="2"/>
        <v>Australia</v>
      </c>
    </row>
    <row r="49" spans="1:20" x14ac:dyDescent="0.3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  <c r="T49" t="str">
        <f t="shared" si="2"/>
        <v>United States</v>
      </c>
    </row>
    <row r="50" spans="1:20" x14ac:dyDescent="0.3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  <c r="T50" t="str">
        <f t="shared" si="2"/>
        <v>Australia</v>
      </c>
    </row>
    <row r="51" spans="1:20" x14ac:dyDescent="0.3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  <c r="T51" t="str">
        <f t="shared" si="2"/>
        <v>Australia</v>
      </c>
    </row>
    <row r="52" spans="1:20" x14ac:dyDescent="0.3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  <c r="T52" t="str">
        <f t="shared" si="2"/>
        <v>France</v>
      </c>
    </row>
    <row r="53" spans="1:20" x14ac:dyDescent="0.3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  <c r="T53" t="str">
        <f t="shared" si="2"/>
        <v>United States</v>
      </c>
    </row>
    <row r="54" spans="1:20" x14ac:dyDescent="0.3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  <c r="T54" t="str">
        <f t="shared" si="2"/>
        <v>Australia</v>
      </c>
    </row>
    <row r="55" spans="1:20" x14ac:dyDescent="0.3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  <c r="T55" t="str">
        <f t="shared" si="2"/>
        <v>Germany</v>
      </c>
    </row>
    <row r="56" spans="1:20" x14ac:dyDescent="0.3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  <c r="T56" t="str">
        <f t="shared" si="2"/>
        <v>Australia</v>
      </c>
    </row>
    <row r="57" spans="1:20" x14ac:dyDescent="0.3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  <c r="T57" t="str">
        <f t="shared" si="2"/>
        <v>Germany</v>
      </c>
    </row>
    <row r="58" spans="1:20" x14ac:dyDescent="0.3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  <c r="T58" t="str">
        <f t="shared" si="2"/>
        <v>France</v>
      </c>
    </row>
    <row r="59" spans="1:20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  <c r="T59" t="str">
        <f t="shared" si="2"/>
        <v>United Kingdom</v>
      </c>
    </row>
    <row r="60" spans="1:20" x14ac:dyDescent="0.3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  <c r="T60" t="str">
        <f t="shared" si="2"/>
        <v>United States</v>
      </c>
    </row>
    <row r="61" spans="1:20" x14ac:dyDescent="0.3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  <c r="T61" t="str">
        <f t="shared" si="2"/>
        <v>France</v>
      </c>
    </row>
    <row r="62" spans="1:20" x14ac:dyDescent="0.3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  <c r="T62" t="str">
        <f t="shared" si="2"/>
        <v>United States</v>
      </c>
    </row>
    <row r="63" spans="1:20" x14ac:dyDescent="0.3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  <c r="T63" t="str">
        <f t="shared" si="2"/>
        <v>France</v>
      </c>
    </row>
    <row r="64" spans="1:20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  <c r="T64" t="str">
        <f t="shared" si="2"/>
        <v>Australia</v>
      </c>
    </row>
    <row r="65" spans="1:20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  <c r="T65" t="str">
        <f t="shared" si="2"/>
        <v>France</v>
      </c>
    </row>
    <row r="66" spans="1:20" x14ac:dyDescent="0.3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  <c r="T66" t="str">
        <f t="shared" si="2"/>
        <v>United States</v>
      </c>
    </row>
    <row r="67" spans="1:20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3">N67*O67</f>
        <v>5008</v>
      </c>
      <c r="S67" s="2">
        <f t="shared" ref="S67:S89" si="4">N67*P67</f>
        <v>9180</v>
      </c>
      <c r="T67" t="str">
        <f t="shared" ref="T67:T89" si="5">TRIM(CLEAN(I67))</f>
        <v>United States</v>
      </c>
    </row>
    <row r="68" spans="1:20" x14ac:dyDescent="0.3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3"/>
        <v>5008</v>
      </c>
      <c r="S68" s="2">
        <f t="shared" si="4"/>
        <v>9180</v>
      </c>
      <c r="T68" t="str">
        <f t="shared" si="5"/>
        <v>United States</v>
      </c>
    </row>
    <row r="69" spans="1:20" x14ac:dyDescent="0.3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3"/>
        <v>5008</v>
      </c>
      <c r="S69" s="2">
        <f t="shared" si="4"/>
        <v>9180</v>
      </c>
      <c r="T69" t="str">
        <f t="shared" si="5"/>
        <v>Australia</v>
      </c>
    </row>
    <row r="70" spans="1:20" x14ac:dyDescent="0.3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3"/>
        <v>590</v>
      </c>
      <c r="S70" s="2">
        <f t="shared" si="4"/>
        <v>1080</v>
      </c>
      <c r="T70" t="str">
        <f t="shared" si="5"/>
        <v>Australia</v>
      </c>
    </row>
    <row r="71" spans="1:20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3"/>
        <v>2504</v>
      </c>
      <c r="S71" s="2">
        <f t="shared" si="4"/>
        <v>4590</v>
      </c>
      <c r="T71" t="str">
        <f t="shared" si="5"/>
        <v>Germany</v>
      </c>
    </row>
    <row r="72" spans="1:20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3"/>
        <v>1266</v>
      </c>
      <c r="S72" s="2">
        <f t="shared" si="4"/>
        <v>2320</v>
      </c>
      <c r="T72" t="str">
        <f t="shared" si="5"/>
        <v>United States</v>
      </c>
    </row>
    <row r="73" spans="1:20" x14ac:dyDescent="0.3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3"/>
        <v>7592</v>
      </c>
      <c r="S73" s="2">
        <f t="shared" si="4"/>
        <v>13500</v>
      </c>
      <c r="T73" t="str">
        <f t="shared" si="5"/>
        <v>Australia</v>
      </c>
    </row>
    <row r="74" spans="1:20" x14ac:dyDescent="0.3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3"/>
        <v>5008</v>
      </c>
      <c r="S74" s="2">
        <f t="shared" si="4"/>
        <v>9180</v>
      </c>
      <c r="T74" t="str">
        <f t="shared" si="5"/>
        <v>Australia</v>
      </c>
    </row>
    <row r="75" spans="1:20" x14ac:dyDescent="0.3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3"/>
        <v>885</v>
      </c>
      <c r="S75" s="2">
        <f t="shared" si="4"/>
        <v>1620</v>
      </c>
      <c r="T75" t="str">
        <f t="shared" si="5"/>
        <v>Canada</v>
      </c>
    </row>
    <row r="76" spans="1:20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3"/>
        <v>1266</v>
      </c>
      <c r="S76" s="2">
        <f t="shared" si="4"/>
        <v>2320</v>
      </c>
      <c r="T76" t="str">
        <f t="shared" si="5"/>
        <v>Australia</v>
      </c>
    </row>
    <row r="77" spans="1:20" x14ac:dyDescent="0.3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3"/>
        <v>1266</v>
      </c>
      <c r="S77" s="2">
        <f t="shared" si="4"/>
        <v>2320</v>
      </c>
      <c r="T77" t="str">
        <f t="shared" si="5"/>
        <v>Australia</v>
      </c>
    </row>
    <row r="78" spans="1:20" x14ac:dyDescent="0.3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3"/>
        <v>3798</v>
      </c>
      <c r="S78" s="2">
        <f t="shared" si="4"/>
        <v>6960</v>
      </c>
      <c r="T78" t="str">
        <f t="shared" si="5"/>
        <v>France</v>
      </c>
    </row>
    <row r="79" spans="1:20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3"/>
        <v>840</v>
      </c>
      <c r="S79" s="2">
        <f t="shared" si="4"/>
        <v>1538</v>
      </c>
      <c r="T79" t="str">
        <f t="shared" si="5"/>
        <v>United Kingdom</v>
      </c>
    </row>
    <row r="80" spans="1:20" x14ac:dyDescent="0.3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3"/>
        <v>3798</v>
      </c>
      <c r="S80" s="2">
        <f t="shared" si="4"/>
        <v>6960</v>
      </c>
      <c r="T80" t="str">
        <f t="shared" si="5"/>
        <v>United States</v>
      </c>
    </row>
    <row r="81" spans="1:20" x14ac:dyDescent="0.3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3"/>
        <v>3756</v>
      </c>
      <c r="S81" s="2">
        <f t="shared" si="4"/>
        <v>6885</v>
      </c>
      <c r="T81" t="str">
        <f t="shared" si="5"/>
        <v>United States</v>
      </c>
    </row>
    <row r="82" spans="1:20" x14ac:dyDescent="0.3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3"/>
        <v>308</v>
      </c>
      <c r="S82" s="2">
        <f t="shared" si="4"/>
        <v>565</v>
      </c>
      <c r="T82" t="str">
        <f t="shared" si="5"/>
        <v>Australia</v>
      </c>
    </row>
    <row r="83" spans="1:20" x14ac:dyDescent="0.3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3"/>
        <v>1252</v>
      </c>
      <c r="S83" s="2">
        <f t="shared" si="4"/>
        <v>2295</v>
      </c>
      <c r="T83" t="str">
        <f t="shared" si="5"/>
        <v>France</v>
      </c>
    </row>
    <row r="84" spans="1:20" x14ac:dyDescent="0.3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3"/>
        <v>1252</v>
      </c>
      <c r="S84" s="2">
        <f t="shared" si="4"/>
        <v>2295</v>
      </c>
      <c r="T84" t="str">
        <f t="shared" si="5"/>
        <v>Canada</v>
      </c>
    </row>
    <row r="85" spans="1:20" x14ac:dyDescent="0.3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3"/>
        <v>1266</v>
      </c>
      <c r="S85" s="2">
        <f t="shared" si="4"/>
        <v>2320</v>
      </c>
      <c r="T85" t="str">
        <f t="shared" si="5"/>
        <v>Germany</v>
      </c>
    </row>
    <row r="86" spans="1:20" x14ac:dyDescent="0.3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3"/>
        <v>1266</v>
      </c>
      <c r="S86" s="2">
        <f t="shared" si="4"/>
        <v>2320</v>
      </c>
      <c r="T86" t="str">
        <f t="shared" si="5"/>
        <v>United States</v>
      </c>
    </row>
    <row r="87" spans="1:20" x14ac:dyDescent="0.3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3"/>
        <v>1252</v>
      </c>
      <c r="S87" s="2">
        <f t="shared" si="4"/>
        <v>2295</v>
      </c>
      <c r="T87" t="str">
        <f t="shared" si="5"/>
        <v>Canada</v>
      </c>
    </row>
    <row r="88" spans="1:20" x14ac:dyDescent="0.3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3"/>
        <v>295</v>
      </c>
      <c r="S88" s="2">
        <f t="shared" si="4"/>
        <v>540</v>
      </c>
      <c r="T88" t="str">
        <f t="shared" si="5"/>
        <v>United States</v>
      </c>
    </row>
    <row r="89" spans="1:20" x14ac:dyDescent="0.3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3"/>
        <v>5008</v>
      </c>
      <c r="S89" s="2">
        <f t="shared" si="4"/>
        <v>9180</v>
      </c>
      <c r="T89" t="str">
        <f t="shared" si="5"/>
        <v>Australia</v>
      </c>
    </row>
  </sheetData>
  <autoFilter ref="I1:I91" xr:uid="{00000000-0001-0000-0000-000000000000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2C59-9629-4B98-B126-5091E34C2220}">
  <dimension ref="A1:B13"/>
  <sheetViews>
    <sheetView workbookViewId="0">
      <selection activeCell="B3" sqref="B3"/>
    </sheetView>
  </sheetViews>
  <sheetFormatPr defaultRowHeight="14.4" x14ac:dyDescent="0.3"/>
  <cols>
    <col min="1" max="1" width="30" bestFit="1" customWidth="1"/>
    <col min="2" max="2" width="6.77734375" bestFit="1" customWidth="1"/>
  </cols>
  <sheetData>
    <row r="1" spans="1:2" x14ac:dyDescent="0.3">
      <c r="A1" t="s">
        <v>158</v>
      </c>
      <c r="B1" t="s">
        <v>159</v>
      </c>
    </row>
    <row r="2" spans="1:2" x14ac:dyDescent="0.3">
      <c r="A2" t="s">
        <v>160</v>
      </c>
      <c r="B2">
        <v>88</v>
      </c>
    </row>
    <row r="3" spans="1:2" x14ac:dyDescent="0.3">
      <c r="A3" t="s">
        <v>161</v>
      </c>
      <c r="B3">
        <v>88</v>
      </c>
    </row>
    <row r="4" spans="1:2" x14ac:dyDescent="0.3">
      <c r="A4" t="s">
        <v>162</v>
      </c>
      <c r="B4">
        <v>0</v>
      </c>
    </row>
    <row r="5" spans="1:2" x14ac:dyDescent="0.3">
      <c r="A5" t="s">
        <v>163</v>
      </c>
      <c r="B5">
        <v>0</v>
      </c>
    </row>
    <row r="6" spans="1:2" x14ac:dyDescent="0.3">
      <c r="A6" t="s">
        <v>164</v>
      </c>
      <c r="B6">
        <v>0</v>
      </c>
    </row>
    <row r="7" spans="1:2" x14ac:dyDescent="0.3">
      <c r="A7" t="s">
        <v>165</v>
      </c>
      <c r="B7">
        <v>0</v>
      </c>
    </row>
    <row r="8" spans="1:2" x14ac:dyDescent="0.3">
      <c r="A8" t="s">
        <v>166</v>
      </c>
      <c r="B8">
        <v>0</v>
      </c>
    </row>
    <row r="9" spans="1:2" x14ac:dyDescent="0.3">
      <c r="A9" t="s">
        <v>167</v>
      </c>
      <c r="B9">
        <v>0</v>
      </c>
    </row>
    <row r="10" spans="1:2" x14ac:dyDescent="0.3">
      <c r="A10" t="s">
        <v>168</v>
      </c>
      <c r="B10">
        <v>0</v>
      </c>
    </row>
    <row r="11" spans="1:2" x14ac:dyDescent="0.3">
      <c r="A11" t="s">
        <v>169</v>
      </c>
      <c r="B11">
        <v>0</v>
      </c>
    </row>
    <row r="12" spans="1:2" x14ac:dyDescent="0.3">
      <c r="A12" t="s">
        <v>170</v>
      </c>
      <c r="B12">
        <v>0</v>
      </c>
    </row>
    <row r="13" spans="1:2" x14ac:dyDescent="0.3">
      <c r="A13" t="s">
        <v>171</v>
      </c>
      <c r="B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Bike Sales</vt:lpstr>
      <vt:lpstr>Data_Quality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Admin</cp:lastModifiedBy>
  <cp:revision/>
  <dcterms:created xsi:type="dcterms:W3CDTF">2022-11-04T20:14:11Z</dcterms:created>
  <dcterms:modified xsi:type="dcterms:W3CDTF">2026-10-10T10:09:49Z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